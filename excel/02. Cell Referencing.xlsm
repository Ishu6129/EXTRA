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ferences" sheetId="1" r:id="rId4"/>
    <sheet state="visible" name="Assumption Sheet" sheetId="2" r:id="rId5"/>
    <sheet state="visible" name="City 1" sheetId="3" r:id="rId6"/>
    <sheet state="visible" name="City 2" sheetId="4" r:id="rId7"/>
    <sheet state="visible" name="City 3" sheetId="5" r:id="rId8"/>
  </sheets>
  <definedNames>
    <definedName name="AnswerYears">#REF!</definedName>
    <definedName name="AnswerAmount">#REF!</definedName>
    <definedName name="AnswerAnnualRate">#REF!</definedName>
  </definedNames>
  <calcPr/>
  <extLst>
    <ext uri="GoogleSheetsCustomDataVersion2">
      <go:sheetsCustomData xmlns:go="http://customooxmlschemas.google.com/" r:id="rId9" roundtripDataChecksum="gaJLJN2/DQlQI3g9Zfz951Usv+VlgD8A/S9Dw7iLj7Y="/>
    </ext>
  </extLst>
</workbook>
</file>

<file path=xl/sharedStrings.xml><?xml version="1.0" encoding="utf-8"?>
<sst xmlns="http://schemas.openxmlformats.org/spreadsheetml/2006/main" count="168" uniqueCount="103">
  <si>
    <r>
      <rPr>
        <rFont val="Calibri"/>
        <color theme="1"/>
        <sz val="11.0"/>
      </rPr>
      <t xml:space="preserve">When we </t>
    </r>
    <r>
      <rPr>
        <rFont val="Calibri"/>
        <b/>
        <i/>
        <color theme="1"/>
        <sz val="11.0"/>
        <u/>
      </rPr>
      <t>copy</t>
    </r>
    <r>
      <rPr>
        <rFont val="Calibri"/>
        <color theme="1"/>
        <sz val="11.0"/>
      </rPr>
      <t xml:space="preserve"> a formula that contains cell references, we need to consider whether we need:</t>
    </r>
  </si>
  <si>
    <r>
      <rPr>
        <rFont val="Calibri"/>
        <b/>
        <color rgb="FF0000FF"/>
        <sz val="11.0"/>
      </rPr>
      <t>Relative</t>
    </r>
    <r>
      <rPr>
        <rFont val="Calibri"/>
        <color theme="1"/>
        <sz val="11.0"/>
      </rPr>
      <t xml:space="preserve">, </t>
    </r>
    <r>
      <rPr>
        <rFont val="Calibri"/>
        <b/>
        <color rgb="FFFF0000"/>
        <sz val="11.0"/>
      </rPr>
      <t>Absolute</t>
    </r>
    <r>
      <rPr>
        <rFont val="Calibri"/>
        <color theme="1"/>
        <sz val="11.0"/>
      </rPr>
      <t xml:space="preserve">, </t>
    </r>
    <r>
      <rPr>
        <rFont val="Calibri"/>
        <b/>
        <color rgb="FF00B050"/>
        <sz val="11.0"/>
      </rPr>
      <t>Mixed with the Column Locked</t>
    </r>
    <r>
      <rPr>
        <rFont val="Calibri"/>
        <color theme="1"/>
        <sz val="11.0"/>
      </rPr>
      <t xml:space="preserve"> or </t>
    </r>
    <r>
      <rPr>
        <rFont val="Calibri"/>
        <b/>
        <color rgb="FF7030A0"/>
        <sz val="11.0"/>
      </rPr>
      <t>Mixed with the Row Locked</t>
    </r>
    <r>
      <rPr>
        <rFont val="Calibri"/>
        <color theme="1"/>
        <sz val="11.0"/>
      </rPr>
      <t>.</t>
    </r>
  </si>
  <si>
    <r>
      <rPr>
        <rFont val="Calibri"/>
        <b/>
        <color theme="1"/>
        <sz val="11.0"/>
      </rPr>
      <t xml:space="preserve">Example 1: </t>
    </r>
    <r>
      <rPr>
        <rFont val="Calibri"/>
        <b val="0"/>
        <color theme="1"/>
        <sz val="11.0"/>
      </rPr>
      <t>Not Copying Formula.</t>
    </r>
  </si>
  <si>
    <r>
      <rPr>
        <rFont val="Calibri"/>
        <b/>
        <color theme="1"/>
        <sz val="11.0"/>
      </rPr>
      <t>Goal:</t>
    </r>
    <r>
      <rPr>
        <rFont val="Calibri"/>
        <color theme="1"/>
        <sz val="11.0"/>
      </rPr>
      <t xml:space="preserve"> Calculate Net Income.</t>
    </r>
  </si>
  <si>
    <t>Month</t>
  </si>
  <si>
    <t>Jan</t>
  </si>
  <si>
    <t>Revenue</t>
  </si>
  <si>
    <t>Expenses</t>
  </si>
  <si>
    <t>Net Income</t>
  </si>
  <si>
    <r>
      <rPr>
        <rFont val="Calibri"/>
        <b/>
        <color theme="1"/>
        <sz val="11.0"/>
      </rPr>
      <t xml:space="preserve">Example 2: </t>
    </r>
    <r>
      <rPr>
        <rFont val="Calibri"/>
        <b val="0"/>
        <color theme="1"/>
        <sz val="11.0"/>
      </rPr>
      <t>Relative Cell Reference.</t>
    </r>
  </si>
  <si>
    <r>
      <rPr>
        <rFont val="Calibri"/>
        <b/>
        <color theme="1"/>
        <sz val="11.0"/>
      </rPr>
      <t>Goal:</t>
    </r>
    <r>
      <rPr>
        <rFont val="Calibri"/>
        <color theme="1"/>
        <sz val="11.0"/>
      </rPr>
      <t xml:space="preserve"> Calculate Net Income for each Month.</t>
    </r>
  </si>
  <si>
    <t>Feb</t>
  </si>
  <si>
    <t>Mar</t>
  </si>
  <si>
    <t>Apr</t>
  </si>
  <si>
    <t>May</t>
  </si>
  <si>
    <r>
      <rPr>
        <rFont val="Calibri"/>
        <b/>
        <color theme="1"/>
        <sz val="11.0"/>
      </rPr>
      <t xml:space="preserve">Example 3: </t>
    </r>
    <r>
      <rPr>
        <rFont val="Calibri"/>
        <b val="0"/>
        <color theme="1"/>
        <sz val="11.0"/>
      </rPr>
      <t>Relative &amp; Absolute Cell Reference.</t>
    </r>
  </si>
  <si>
    <r>
      <rPr>
        <rFont val="Calibri"/>
        <b/>
        <color theme="1"/>
        <sz val="11.0"/>
      </rPr>
      <t>Goal:</t>
    </r>
    <r>
      <rPr>
        <rFont val="Calibri"/>
        <color theme="1"/>
        <sz val="11.0"/>
      </rPr>
      <t xml:space="preserve"> Estimate the Future Value of an Investment at different rates.</t>
    </r>
  </si>
  <si>
    <t>Amount</t>
  </si>
  <si>
    <t>Years</t>
  </si>
  <si>
    <t>Annual Rate</t>
  </si>
  <si>
    <t>Future Value</t>
  </si>
  <si>
    <t>Check:</t>
  </si>
  <si>
    <r>
      <rPr>
        <rFont val="Calibri"/>
        <b/>
        <color theme="1"/>
        <sz val="11.0"/>
      </rPr>
      <t>Example 4:</t>
    </r>
    <r>
      <rPr>
        <rFont val="Calibri"/>
        <b val="0"/>
        <color theme="1"/>
        <sz val="11.0"/>
      </rPr>
      <t xml:space="preserve"> Relative &amp; Absolute Cell Reference.</t>
    </r>
  </si>
  <si>
    <r>
      <rPr>
        <rFont val="Calibri"/>
        <b/>
        <color theme="1"/>
        <sz val="11.0"/>
      </rPr>
      <t>Goal:</t>
    </r>
    <r>
      <rPr>
        <rFont val="Calibri"/>
        <b val="0"/>
        <color theme="1"/>
        <sz val="11.0"/>
      </rPr>
      <t xml:space="preserve"> Calculate each Expense as a % of Revenue (Expense Ratios) to use in next year's Budget.</t>
    </r>
  </si>
  <si>
    <t>Ave. of Last 5 Year's Income Statement:</t>
  </si>
  <si>
    <t>* When we do division or calculate a ratio, if you keep the units in both the numerator and denominator, and,</t>
  </si>
  <si>
    <t xml:space="preserve"> keep a 1 in the denominator, the meaning of the ratio is revealed.</t>
  </si>
  <si>
    <t>Category</t>
  </si>
  <si>
    <t>Amounts</t>
  </si>
  <si>
    <t>% of Revenue</t>
  </si>
  <si>
    <r>
      <rPr>
        <rFont val="Calibri"/>
        <color theme="1"/>
        <sz val="11.0"/>
      </rPr>
      <t xml:space="preserve">* Each </t>
    </r>
    <r>
      <rPr>
        <rFont val="Calibri"/>
        <b/>
        <color theme="1"/>
        <sz val="11.0"/>
      </rPr>
      <t>%</t>
    </r>
    <r>
      <rPr>
        <rFont val="Calibri"/>
        <color theme="1"/>
        <sz val="11.0"/>
      </rPr>
      <t xml:space="preserve"> tells us "how many pennies for each dollar that comes into cash register, goes to each category."</t>
    </r>
  </si>
  <si>
    <t>* Once we calculate these % we can use them to make estimates for future periods (budgeting).</t>
  </si>
  <si>
    <t>Expenses:</t>
  </si>
  <si>
    <t>Meaning of each Ratio:</t>
  </si>
  <si>
    <t>COGS</t>
  </si>
  <si>
    <t>Operating</t>
  </si>
  <si>
    <t>Administrative</t>
  </si>
  <si>
    <t>Other</t>
  </si>
  <si>
    <t>Total Expenses</t>
  </si>
  <si>
    <r>
      <rPr>
        <rFont val="Calibri"/>
        <b/>
        <color theme="1"/>
        <sz val="11.0"/>
      </rPr>
      <t>Example 5:</t>
    </r>
    <r>
      <rPr>
        <rFont val="Calibri"/>
        <b val="0"/>
        <color theme="1"/>
        <sz val="11.0"/>
      </rPr>
      <t xml:space="preserve"> Mixed Cell References &amp; Assumption Tables.</t>
    </r>
  </si>
  <si>
    <r>
      <rPr>
        <rFont val="Calibri"/>
        <b/>
        <color theme="1"/>
        <sz val="11.0"/>
      </rPr>
      <t>Goal:</t>
    </r>
    <r>
      <rPr>
        <rFont val="Calibri"/>
        <b val="0"/>
        <color theme="1"/>
        <sz val="11.0"/>
      </rPr>
      <t xml:space="preserve"> Calculate Expenses for Budgeting Process.</t>
    </r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</si>
  <si>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</si>
  <si>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</si>
  <si>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</si>
  <si>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rFont val="Calibri"/>
        <color theme="1"/>
      </rPr>
      <t xml:space="preserve">&lt;&lt;= Expenses are </t>
    </r>
    <r>
      <rPr>
        <rFont val="Calibri"/>
        <b/>
        <color theme="1"/>
        <sz val="11.0"/>
      </rPr>
      <t>Vertical</t>
    </r>
    <r>
      <rPr>
        <rFont val="Calibri"/>
        <color theme="1"/>
        <sz val="11.0"/>
      </rPr>
      <t xml:space="preserve"> in Assumption Table &amp; </t>
    </r>
    <r>
      <rPr>
        <rFont val="Calibri"/>
        <b/>
        <color theme="1"/>
        <sz val="11.0"/>
      </rPr>
      <t>Vertical</t>
    </r>
    <r>
      <rPr>
        <rFont val="Calibri"/>
        <color theme="1"/>
        <sz val="11.0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</si>
  <si>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</si>
  <si>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</si>
  <si>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</si>
  <si>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rFont val="Calibri"/>
        <color theme="1"/>
        <sz val="11.0"/>
      </rPr>
      <t xml:space="preserve">This Assumption Table can </t>
    </r>
    <r>
      <rPr>
        <rFont val="Calibri"/>
        <b/>
        <i/>
        <color theme="1"/>
        <sz val="11.0"/>
        <u/>
      </rPr>
      <t>NOT</t>
    </r>
    <r>
      <rPr>
        <rFont val="Calibri"/>
        <color theme="1"/>
        <sz val="11.0"/>
      </rPr>
      <t xml:space="preserve"> be used with Mixed Cell References</t>
    </r>
  </si>
  <si>
    <r>
      <rPr>
        <rFont val="Calibri"/>
        <color theme="1"/>
        <sz val="11.0"/>
      </rPr>
      <t xml:space="preserve">because expenses in Assumption Table are </t>
    </r>
    <r>
      <rPr>
        <rFont val="Calibri"/>
        <b/>
        <i/>
        <color theme="1"/>
        <sz val="11.0"/>
        <u/>
      </rPr>
      <t>NOT</t>
    </r>
    <r>
      <rPr>
        <rFont val="Calibri"/>
        <color theme="1"/>
        <sz val="11.0"/>
      </rPr>
      <t xml:space="preserve"> oriented in the same direction as the formula table.</t>
    </r>
  </si>
  <si>
    <r>
      <rPr>
        <rFont val="Calibri"/>
        <b/>
        <color theme="1"/>
        <sz val="11.0"/>
      </rPr>
      <t>Example 6 :</t>
    </r>
    <r>
      <rPr>
        <rFont val="Calibri"/>
        <b val="0"/>
        <color theme="1"/>
        <sz val="11.0"/>
      </rPr>
      <t xml:space="preserve"> Sheet Reference.</t>
    </r>
  </si>
  <si>
    <r>
      <rPr>
        <rFont val="Calibri"/>
        <b/>
        <color theme="1"/>
        <sz val="11.0"/>
      </rPr>
      <t>Goal:</t>
    </r>
    <r>
      <rPr>
        <rFont val="Calibri"/>
        <b val="0"/>
        <color theme="1"/>
        <sz val="11.0"/>
      </rPr>
      <t xml:space="preserve"> Calculate Jan &amp; Feb Commissions, when Commission Rates are on an Assumption Sheet.</t>
    </r>
  </si>
  <si>
    <t>Jan Sales</t>
  </si>
  <si>
    <t>Feb Sales</t>
  </si>
  <si>
    <t xml:space="preserve">Jan Comm </t>
  </si>
  <si>
    <t xml:space="preserve">Feb Comm </t>
  </si>
  <si>
    <t>Sheet Reference:</t>
  </si>
  <si>
    <t>1) Type equal sign</t>
  </si>
  <si>
    <t>2) Click on sheet</t>
  </si>
  <si>
    <t>3) click on cell on "clicked on sheet"</t>
  </si>
  <si>
    <t>Don't click back on sheet with formula!!!</t>
  </si>
  <si>
    <t>4) Hit Enter!!</t>
  </si>
  <si>
    <t>Total</t>
  </si>
  <si>
    <r>
      <rPr>
        <rFont val="Calibri"/>
        <b/>
        <color theme="1"/>
        <sz val="11.0"/>
      </rPr>
      <t>Example 09:</t>
    </r>
    <r>
      <rPr>
        <rFont val="Calibri"/>
        <b val="0"/>
        <color theme="1"/>
        <sz val="11.0"/>
      </rPr>
      <t xml:space="preserve"> Workbook Reference.</t>
    </r>
  </si>
  <si>
    <r>
      <rPr>
        <rFont val="Calibri"/>
        <b/>
        <color theme="1"/>
        <sz val="11.0"/>
      </rPr>
      <t>Goal:</t>
    </r>
    <r>
      <rPr>
        <rFont val="Calibri"/>
        <b val="0"/>
        <color theme="1"/>
        <sz val="11.0"/>
      </rPr>
      <t xml:space="preserve"> Access Net Income Number from External Workbook.</t>
    </r>
  </si>
  <si>
    <t>June Revenue and Expenses</t>
  </si>
  <si>
    <t>Workbook Reference:</t>
  </si>
  <si>
    <t>Rev</t>
  </si>
  <si>
    <t>Expense 1</t>
  </si>
  <si>
    <t>2) Click on Workbook</t>
  </si>
  <si>
    <t>Expense 2</t>
  </si>
  <si>
    <t>3) Click on sheet</t>
  </si>
  <si>
    <t>Expense 3</t>
  </si>
  <si>
    <t>4) click on cell on "clicked on sheet"</t>
  </si>
  <si>
    <t>Expense 4</t>
  </si>
  <si>
    <t>5) Hit Enter!!</t>
  </si>
  <si>
    <t>Expense 5</t>
  </si>
  <si>
    <t>Absolute Cell References are default, but you can change them.</t>
  </si>
  <si>
    <t>Expense 6</t>
  </si>
  <si>
    <t>You can update, change, open source or break link: Data Ribbon Tab, Connections group, Edit Links</t>
  </si>
  <si>
    <t>June Net Income</t>
  </si>
  <si>
    <t>May Net Income</t>
  </si>
  <si>
    <t>Change</t>
  </si>
  <si>
    <r>
      <rPr>
        <rFont val="Calibri"/>
        <b/>
        <color theme="1"/>
        <sz val="11.0"/>
      </rPr>
      <t>Example 09:</t>
    </r>
    <r>
      <rPr>
        <rFont val="Calibri"/>
        <b val="0"/>
        <color theme="1"/>
        <sz val="11.0"/>
      </rPr>
      <t xml:space="preserve"> 3-D References.</t>
    </r>
  </si>
  <si>
    <r>
      <rPr>
        <rFont val="Calibri"/>
        <b/>
        <color theme="1"/>
        <sz val="11.0"/>
      </rPr>
      <t xml:space="preserve">Goal: </t>
    </r>
    <r>
      <rPr>
        <rFont val="Calibri"/>
        <b val="0"/>
        <color theme="1"/>
        <sz val="11.0"/>
      </rPr>
      <t>Add numbers from across sheets that each contain an identical template for units.</t>
    </r>
  </si>
  <si>
    <t>Corp Totals</t>
  </si>
  <si>
    <t>3-D Reference</t>
  </si>
  <si>
    <t>1) click on first sheet</t>
  </si>
  <si>
    <t>Quad</t>
  </si>
  <si>
    <t>2) Click on cell or range</t>
  </si>
  <si>
    <t>Sunset</t>
  </si>
  <si>
    <t>3) HOLD SHIFT</t>
  </si>
  <si>
    <t>Carlota</t>
  </si>
  <si>
    <t>4) Click on last sheet</t>
  </si>
  <si>
    <t>Aspen</t>
  </si>
  <si>
    <t>5) Hit Enter</t>
  </si>
  <si>
    <t>Yanaki</t>
  </si>
  <si>
    <t>Tri-Fly</t>
  </si>
  <si>
    <t>Jan Commission Rate</t>
  </si>
  <si>
    <t>Feb Commission Rate</t>
  </si>
  <si>
    <t>Oak Unit Totals</t>
  </si>
  <si>
    <t>Sea Unit Totals</t>
  </si>
  <si>
    <t>Tac Unit Totals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</si>
</sst>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_(* #,##0.00_);_(* \(#,##0.00\);_(* &quot;-&quot;??_);_(@_)"/>
    <numFmt numFmtId="165" formatCode="&quot;$&quot;#,##0"/>
    <numFmt numFmtId="166" formatCode="&quot;$&quot;#,##0.00"/>
  </numFmts>
  <fonts count="7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sz val="11.0"/>
      <color theme="0"/>
      <name val="Calibri"/>
    </font>
    <font>
      <color theme="1"/>
      <name val="Calibri"/>
      <scheme val="minor"/>
    </font>
    <font>
      <sz val="14.0"/>
      <color theme="0"/>
      <name val="Calibri"/>
    </font>
    <font/>
  </fonts>
  <fills count="10">
    <fill>
      <patternFill patternType="none"/>
    </fill>
    <fill>
      <patternFill patternType="lightGray"/>
    </fill>
    <fill>
      <patternFill patternType="solid">
        <fgColor rgb="FFFFFFCC"/>
        <bgColor rgb="FFFFFFCC"/>
      </patternFill>
    </fill>
    <fill>
      <patternFill patternType="solid">
        <fgColor rgb="FF002060"/>
        <bgColor rgb="FF002060"/>
      </patternFill>
    </fill>
    <fill>
      <patternFill patternType="solid">
        <fgColor rgb="FFCCFFCC"/>
        <bgColor rgb="FFCCFFCC"/>
      </patternFill>
    </fill>
    <fill>
      <patternFill patternType="solid">
        <fgColor rgb="FF0070C0"/>
        <bgColor rgb="FF0070C0"/>
      </patternFill>
    </fill>
    <fill>
      <patternFill patternType="solid">
        <fgColor rgb="FFC5E0B3"/>
        <bgColor rgb="FFC5E0B3"/>
      </patternFill>
    </fill>
    <fill>
      <patternFill patternType="solid">
        <fgColor rgb="FFFF0000"/>
        <bgColor rgb="FFFF0000"/>
      </patternFill>
    </fill>
    <fill>
      <patternFill patternType="solid">
        <fgColor rgb="FF760000"/>
        <bgColor rgb="FF760000"/>
      </patternFill>
    </fill>
    <fill>
      <patternFill patternType="solid">
        <fgColor theme="1"/>
        <bgColor theme="1"/>
      </patternFill>
    </fill>
  </fills>
  <borders count="28">
    <border/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/>
    </border>
    <border>
      <left/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/>
      <right style="thin">
        <color rgb="FF000000"/>
      </right>
      <top style="medium">
        <color rgb="FF000000"/>
      </top>
      <bottom style="double">
        <color rgb="FF000000"/>
      </bottom>
    </border>
    <border>
      <top style="thin">
        <color rgb="FF000000"/>
      </top>
      <bottom style="double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64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2" fontId="1" numFmtId="0" xfId="0" applyBorder="1" applyFont="1"/>
    <xf borderId="3" fillId="2" fontId="1" numFmtId="0" xfId="0" applyBorder="1" applyFont="1"/>
    <xf borderId="4" fillId="2" fontId="1" numFmtId="0" xfId="0" applyBorder="1" applyFont="1"/>
    <xf borderId="5" fillId="2" fontId="1" numFmtId="0" xfId="0" applyBorder="1" applyFont="1"/>
    <xf borderId="6" fillId="2" fontId="1" numFmtId="0" xfId="0" applyBorder="1" applyFont="1"/>
    <xf borderId="1" fillId="2" fontId="2" numFmtId="0" xfId="0" applyBorder="1" applyFont="1"/>
    <xf borderId="7" fillId="3" fontId="3" numFmtId="0" xfId="0" applyBorder="1" applyFill="1" applyFont="1"/>
    <xf borderId="7" fillId="0" fontId="2" numFmtId="0" xfId="0" applyBorder="1" applyFont="1"/>
    <xf borderId="7" fillId="0" fontId="1" numFmtId="164" xfId="0" applyBorder="1" applyFont="1" applyNumberFormat="1"/>
    <xf borderId="8" fillId="3" fontId="3" numFmtId="0" xfId="0" applyBorder="1" applyFont="1"/>
    <xf borderId="9" fillId="0" fontId="1" numFmtId="164" xfId="0" applyBorder="1" applyFont="1" applyNumberFormat="1"/>
    <xf borderId="10" fillId="3" fontId="3" numFmtId="0" xfId="0" applyBorder="1" applyFont="1"/>
    <xf borderId="10" fillId="4" fontId="1" numFmtId="165" xfId="0" applyBorder="1" applyFill="1" applyFont="1" applyNumberFormat="1"/>
    <xf borderId="10" fillId="4" fontId="1" numFmtId="164" xfId="0" applyBorder="1" applyFont="1" applyNumberFormat="1"/>
    <xf borderId="7" fillId="0" fontId="1" numFmtId="0" xfId="0" applyBorder="1" applyFont="1"/>
    <xf borderId="11" fillId="3" fontId="3" numFmtId="0" xfId="0" applyBorder="1" applyFont="1"/>
    <xf borderId="0" fillId="0" fontId="2" numFmtId="0" xfId="0" applyFont="1"/>
    <xf borderId="7" fillId="0" fontId="1" numFmtId="10" xfId="0" applyBorder="1" applyFont="1" applyNumberFormat="1"/>
    <xf borderId="7" fillId="4" fontId="1" numFmtId="165" xfId="0" applyBorder="1" applyFont="1" applyNumberFormat="1"/>
    <xf borderId="7" fillId="4" fontId="1" numFmtId="164" xfId="0" applyBorder="1" applyFont="1" applyNumberFormat="1"/>
    <xf borderId="4" fillId="2" fontId="2" numFmtId="0" xfId="0" applyBorder="1" applyFont="1"/>
    <xf borderId="12" fillId="2" fontId="1" numFmtId="0" xfId="0" applyAlignment="1" applyBorder="1" applyFont="1">
      <alignment horizontal="left"/>
    </xf>
    <xf borderId="13" fillId="2" fontId="1" numFmtId="0" xfId="0" applyBorder="1" applyFont="1"/>
    <xf borderId="14" fillId="2" fontId="1" numFmtId="0" xfId="0" applyBorder="1" applyFont="1"/>
    <xf borderId="12" fillId="2" fontId="1" numFmtId="0" xfId="0" applyBorder="1" applyFont="1"/>
    <xf borderId="15" fillId="5" fontId="3" numFmtId="0" xfId="0" applyBorder="1" applyFill="1" applyFont="1"/>
    <xf borderId="7" fillId="4" fontId="1" numFmtId="10" xfId="0" applyBorder="1" applyFont="1" applyNumberFormat="1"/>
    <xf borderId="12" fillId="2" fontId="2" numFmtId="0" xfId="0" applyBorder="1" applyFont="1"/>
    <xf borderId="15" fillId="5" fontId="3" numFmtId="0" xfId="0" applyAlignment="1" applyBorder="1" applyFont="1">
      <alignment horizontal="left"/>
    </xf>
    <xf borderId="1" fillId="5" fontId="3" numFmtId="0" xfId="0" applyAlignment="1" applyBorder="1" applyFont="1">
      <alignment horizontal="left"/>
    </xf>
    <xf borderId="8" fillId="4" fontId="1" numFmtId="10" xfId="0" applyBorder="1" applyFont="1" applyNumberFormat="1"/>
    <xf borderId="16" fillId="5" fontId="3" numFmtId="0" xfId="0" applyBorder="1" applyFont="1"/>
    <xf borderId="17" fillId="0" fontId="1" numFmtId="164" xfId="0" applyBorder="1" applyFont="1" applyNumberFormat="1"/>
    <xf borderId="18" fillId="4" fontId="1" numFmtId="10" xfId="0" applyBorder="1" applyFont="1" applyNumberFormat="1"/>
    <xf borderId="19" fillId="5" fontId="3" numFmtId="0" xfId="0" applyBorder="1" applyFont="1"/>
    <xf borderId="10" fillId="0" fontId="1" numFmtId="164" xfId="0" applyBorder="1" applyFont="1" applyNumberFormat="1"/>
    <xf borderId="20" fillId="4" fontId="1" numFmtId="10" xfId="0" applyBorder="1" applyFont="1" applyNumberFormat="1"/>
    <xf borderId="7" fillId="3" fontId="3" numFmtId="0" xfId="0" applyAlignment="1" applyBorder="1" applyFont="1">
      <alignment horizontal="left"/>
    </xf>
    <xf borderId="3" fillId="6" fontId="1" numFmtId="164" xfId="0" applyBorder="1" applyFill="1" applyFont="1" applyNumberFormat="1"/>
    <xf borderId="8" fillId="6" fontId="1" numFmtId="164" xfId="0" applyBorder="1" applyFont="1" applyNumberFormat="1"/>
    <xf borderId="21" fillId="6" fontId="1" numFmtId="164" xfId="0" applyBorder="1" applyFont="1" applyNumberFormat="1"/>
    <xf borderId="10" fillId="6" fontId="1" numFmtId="164" xfId="0" applyBorder="1" applyFont="1" applyNumberFormat="1"/>
    <xf borderId="4" fillId="7" fontId="3" numFmtId="0" xfId="0" applyBorder="1" applyFill="1" applyFont="1"/>
    <xf borderId="6" fillId="7" fontId="3" numFmtId="0" xfId="0" applyBorder="1" applyFont="1"/>
    <xf borderId="0" fillId="0" fontId="4" numFmtId="0" xfId="0" applyFont="1"/>
    <xf borderId="0" fillId="0" fontId="1" numFmtId="10" xfId="0" applyFont="1" applyNumberFormat="1"/>
    <xf borderId="5" fillId="7" fontId="1" numFmtId="0" xfId="0" applyBorder="1" applyFont="1"/>
    <xf borderId="0" fillId="0" fontId="1" numFmtId="0" xfId="0" applyAlignment="1" applyFont="1">
      <alignment horizontal="left"/>
    </xf>
    <xf borderId="0" fillId="0" fontId="1" numFmtId="164" xfId="0" applyFont="1" applyNumberFormat="1"/>
    <xf borderId="15" fillId="2" fontId="1" numFmtId="0" xfId="0" applyBorder="1" applyFont="1"/>
    <xf borderId="7" fillId="2" fontId="1" numFmtId="0" xfId="0" applyBorder="1" applyFont="1"/>
    <xf borderId="0" fillId="0" fontId="2" numFmtId="0" xfId="0" applyAlignment="1" applyFont="1">
      <alignment horizontal="left"/>
    </xf>
    <xf borderId="22" fillId="0" fontId="1" numFmtId="164" xfId="0" applyBorder="1" applyFont="1" applyNumberFormat="1"/>
    <xf borderId="23" fillId="2" fontId="1" numFmtId="0" xfId="0" applyBorder="1" applyFont="1"/>
    <xf borderId="24" fillId="2" fontId="1" numFmtId="0" xfId="0" applyBorder="1" applyFont="1"/>
    <xf borderId="7" fillId="4" fontId="1" numFmtId="166" xfId="0" applyBorder="1" applyFont="1" applyNumberFormat="1"/>
    <xf borderId="25" fillId="8" fontId="5" numFmtId="0" xfId="0" applyAlignment="1" applyBorder="1" applyFill="1" applyFont="1">
      <alignment horizontal="center" shrinkToFit="0" wrapText="1"/>
    </xf>
    <xf borderId="26" fillId="0" fontId="6" numFmtId="0" xfId="0" applyBorder="1" applyFont="1"/>
    <xf borderId="27" fillId="0" fontId="6" numFmtId="0" xfId="0" applyBorder="1" applyFont="1"/>
    <xf borderId="7" fillId="9" fontId="3" numFmtId="0" xfId="0" applyBorder="1" applyFill="1" applyFont="1"/>
    <xf borderId="7" fillId="4" fontId="1" numFmtId="0" xfId="0" applyBorder="1" applyFont="1"/>
    <xf borderId="7" fillId="7" fontId="3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00FF"/>
    <pageSetUpPr/>
  </sheetPr>
  <sheetViews>
    <sheetView showGridLines="0" workbookViewId="0"/>
  </sheetViews>
  <sheetFormatPr customHeight="1" defaultColWidth="14.43" defaultRowHeight="15.0"/>
  <cols>
    <col customWidth="1" min="1" max="1" width="17.86"/>
    <col customWidth="1" min="2" max="2" width="14.29"/>
    <col customWidth="1" min="3" max="3" width="14.43"/>
    <col customWidth="1" min="4" max="4" width="12.86"/>
    <col customWidth="1" min="5" max="6" width="11.0"/>
    <col customWidth="1" min="7" max="7" width="11.29"/>
    <col customWidth="1" min="8" max="8" width="12.43"/>
    <col customWidth="1" min="9" max="9" width="11.29"/>
    <col customWidth="1" min="10" max="10" width="11.43"/>
    <col customWidth="1" min="11" max="11" width="10.43"/>
    <col customWidth="1" min="12" max="26" width="8.86"/>
  </cols>
  <sheetData>
    <row r="1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</row>
    <row r="2">
      <c r="A2" s="4" t="s">
        <v>1</v>
      </c>
      <c r="B2" s="5"/>
      <c r="C2" s="5"/>
      <c r="D2" s="5"/>
      <c r="E2" s="5"/>
      <c r="F2" s="5"/>
      <c r="G2" s="5"/>
      <c r="H2" s="5"/>
      <c r="I2" s="5"/>
      <c r="J2" s="6"/>
    </row>
    <row r="4">
      <c r="A4" s="7" t="s">
        <v>2</v>
      </c>
      <c r="B4" s="2"/>
      <c r="C4" s="2"/>
      <c r="D4" s="3"/>
    </row>
    <row r="5">
      <c r="A5" s="4" t="s">
        <v>3</v>
      </c>
      <c r="B5" s="5"/>
      <c r="C5" s="5"/>
      <c r="D5" s="6"/>
    </row>
    <row r="6">
      <c r="A6" s="8" t="s">
        <v>4</v>
      </c>
      <c r="B6" s="9" t="s">
        <v>5</v>
      </c>
    </row>
    <row r="7">
      <c r="A7" s="8" t="s">
        <v>6</v>
      </c>
      <c r="B7" s="10">
        <v>65487.0</v>
      </c>
    </row>
    <row r="8">
      <c r="A8" s="11" t="s">
        <v>7</v>
      </c>
      <c r="B8" s="12">
        <v>52149.0</v>
      </c>
    </row>
    <row r="9">
      <c r="A9" s="13" t="s">
        <v>8</v>
      </c>
      <c r="B9" s="14"/>
    </row>
    <row r="13">
      <c r="A13" s="7" t="s">
        <v>9</v>
      </c>
      <c r="B13" s="2"/>
      <c r="C13" s="2"/>
      <c r="D13" s="2"/>
      <c r="E13" s="2"/>
      <c r="F13" s="3"/>
    </row>
    <row r="14">
      <c r="A14" s="4" t="s">
        <v>10</v>
      </c>
      <c r="B14" s="5"/>
      <c r="C14" s="5"/>
      <c r="D14" s="5"/>
      <c r="E14" s="5"/>
      <c r="F14" s="6"/>
    </row>
    <row r="15">
      <c r="A15" s="8" t="s">
        <v>4</v>
      </c>
      <c r="B15" s="9" t="s">
        <v>5</v>
      </c>
      <c r="C15" s="9" t="s">
        <v>11</v>
      </c>
      <c r="D15" s="9" t="s">
        <v>12</v>
      </c>
      <c r="E15" s="9" t="s">
        <v>13</v>
      </c>
      <c r="F15" s="9" t="s">
        <v>14</v>
      </c>
    </row>
    <row r="16">
      <c r="A16" s="8" t="s">
        <v>6</v>
      </c>
      <c r="B16" s="10">
        <f t="shared" ref="B16:F16" si="1">B53</f>
        <v>65487</v>
      </c>
      <c r="C16" s="10">
        <f t="shared" si="1"/>
        <v>75894</v>
      </c>
      <c r="D16" s="10">
        <f t="shared" si="1"/>
        <v>65007</v>
      </c>
      <c r="E16" s="10">
        <f t="shared" si="1"/>
        <v>95449</v>
      </c>
      <c r="F16" s="10">
        <f t="shared" si="1"/>
        <v>99220</v>
      </c>
    </row>
    <row r="17">
      <c r="A17" s="11" t="s">
        <v>7</v>
      </c>
      <c r="B17" s="12">
        <f t="shared" ref="B17:F17" si="2">B53*SUM($B$64:$B$67)</f>
        <v>55932.97201</v>
      </c>
      <c r="C17" s="12">
        <f t="shared" si="2"/>
        <v>64821.67419</v>
      </c>
      <c r="D17" s="12">
        <f t="shared" si="2"/>
        <v>55523.00016</v>
      </c>
      <c r="E17" s="12">
        <f t="shared" si="2"/>
        <v>81523.75656</v>
      </c>
      <c r="F17" s="12">
        <f t="shared" si="2"/>
        <v>84744.59791</v>
      </c>
    </row>
    <row r="18">
      <c r="A18" s="13" t="s">
        <v>8</v>
      </c>
      <c r="B18" s="15"/>
      <c r="C18" s="15"/>
      <c r="D18" s="15"/>
      <c r="E18" s="15"/>
      <c r="F18" s="15"/>
    </row>
    <row r="21" ht="15.75" customHeight="1">
      <c r="A21" s="7" t="s">
        <v>15</v>
      </c>
      <c r="B21" s="2"/>
      <c r="C21" s="2"/>
      <c r="D21" s="2"/>
      <c r="E21" s="2"/>
      <c r="F21" s="3"/>
    </row>
    <row r="22" ht="15.75" customHeight="1">
      <c r="A22" s="4" t="s">
        <v>16</v>
      </c>
      <c r="B22" s="5"/>
      <c r="C22" s="5"/>
      <c r="D22" s="5"/>
      <c r="E22" s="5"/>
      <c r="F22" s="6"/>
    </row>
    <row r="23" ht="15.75" customHeight="1">
      <c r="A23" s="8" t="s">
        <v>17</v>
      </c>
      <c r="B23" s="10">
        <v>3500.0</v>
      </c>
    </row>
    <row r="24" ht="15.75" customHeight="1">
      <c r="A24" s="8" t="s">
        <v>18</v>
      </c>
      <c r="B24" s="16">
        <v>15.0</v>
      </c>
    </row>
    <row r="25" ht="15.75" customHeight="1"/>
    <row r="26" ht="15.75" customHeight="1">
      <c r="A26" s="17" t="s">
        <v>19</v>
      </c>
      <c r="B26" s="8" t="s">
        <v>20</v>
      </c>
      <c r="J26" s="18" t="s">
        <v>21</v>
      </c>
    </row>
    <row r="27" ht="15.75" customHeight="1">
      <c r="A27" s="19">
        <v>0.03</v>
      </c>
      <c r="B27" s="20"/>
      <c r="J27" s="21">
        <f t="shared" ref="J27:J32" si="3">$B$23*((1+A27)^$B$24-1)/A27</f>
        <v>65096.1986</v>
      </c>
    </row>
    <row r="28" ht="15.75" customHeight="1">
      <c r="A28" s="19">
        <v>0.04</v>
      </c>
      <c r="B28" s="20"/>
      <c r="J28" s="21">
        <f t="shared" si="3"/>
        <v>70082.55673</v>
      </c>
    </row>
    <row r="29" ht="15.75" customHeight="1">
      <c r="A29" s="19">
        <v>0.05</v>
      </c>
      <c r="B29" s="20"/>
      <c r="J29" s="21">
        <f t="shared" si="3"/>
        <v>75524.97256</v>
      </c>
    </row>
    <row r="30" ht="15.75" customHeight="1">
      <c r="A30" s="19">
        <v>0.06</v>
      </c>
      <c r="B30" s="20"/>
      <c r="J30" s="21">
        <f t="shared" si="3"/>
        <v>81465.8946</v>
      </c>
    </row>
    <row r="31" ht="15.75" customHeight="1">
      <c r="A31" s="19">
        <v>0.07</v>
      </c>
      <c r="B31" s="20"/>
      <c r="J31" s="21">
        <f t="shared" si="3"/>
        <v>87951.57704</v>
      </c>
    </row>
    <row r="32" ht="15.75" customHeight="1">
      <c r="A32" s="19">
        <v>0.08</v>
      </c>
      <c r="B32" s="20"/>
      <c r="J32" s="21">
        <f t="shared" si="3"/>
        <v>95032.39875</v>
      </c>
    </row>
    <row r="33" ht="15.75" customHeight="1"/>
    <row r="34" ht="15.75" customHeight="1">
      <c r="A34" s="7" t="s">
        <v>22</v>
      </c>
      <c r="B34" s="2"/>
      <c r="C34" s="2"/>
      <c r="D34" s="2"/>
      <c r="E34" s="2"/>
      <c r="F34" s="2"/>
      <c r="G34" s="3"/>
    </row>
    <row r="35" ht="15.75" customHeight="1">
      <c r="A35" s="22" t="s">
        <v>23</v>
      </c>
      <c r="B35" s="5"/>
      <c r="C35" s="5"/>
      <c r="D35" s="5"/>
      <c r="E35" s="5"/>
      <c r="F35" s="5"/>
      <c r="G35" s="6"/>
    </row>
    <row r="36" ht="15.75" customHeight="1"/>
    <row r="37" ht="15.75" customHeight="1">
      <c r="A37" s="18" t="s">
        <v>24</v>
      </c>
      <c r="E37" s="1" t="s">
        <v>25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3"/>
    </row>
    <row r="38" ht="15.75" customHeight="1">
      <c r="B38" s="18"/>
      <c r="C38" s="18"/>
      <c r="E38" s="23" t="s">
        <v>26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5"/>
    </row>
    <row r="39" ht="15.75" customHeight="1">
      <c r="A39" s="8" t="s">
        <v>27</v>
      </c>
      <c r="B39" s="8" t="s">
        <v>28</v>
      </c>
      <c r="C39" s="8" t="s">
        <v>29</v>
      </c>
      <c r="E39" s="26" t="s">
        <v>30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5"/>
    </row>
    <row r="40" ht="15.75" customHeight="1">
      <c r="A40" s="27" t="s">
        <v>6</v>
      </c>
      <c r="B40" s="10">
        <v>98758.0</v>
      </c>
      <c r="C40" s="28"/>
      <c r="E40" s="26" t="s">
        <v>31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5"/>
    </row>
    <row r="41" ht="15.75" customHeight="1">
      <c r="A41" s="27" t="s">
        <v>32</v>
      </c>
      <c r="B41" s="10"/>
      <c r="C41" s="28"/>
      <c r="E41" s="29" t="s">
        <v>33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5"/>
    </row>
    <row r="42" ht="15.75" customHeight="1">
      <c r="A42" s="30" t="s">
        <v>34</v>
      </c>
      <c r="B42" s="10">
        <v>45879.0</v>
      </c>
      <c r="C42" s="28"/>
      <c r="E42" s="26" t="str">
        <f t="shared" ref="E42:E47" si="4">IF(ISNUMBER(C42),DOLLAR(B42,0)&amp;" "&amp;A42&amp;"/"&amp;DOLLAR($B$40,0)&amp;" "&amp;$A$40&amp;"  =  "&amp;DOLLAR(C42)&amp;" "&amp;A42&amp;"/"&amp;DOLLAR($C$40)&amp;" "&amp;$A$40&amp;"  =  "&amp;DOLLAR(C42)&amp;" of "&amp;A42&amp;" for every "&amp;DOLLAR($C$40)&amp;" of "&amp;$A$40,"")</f>
        <v/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5"/>
    </row>
    <row r="43" ht="15.75" customHeight="1">
      <c r="A43" s="30" t="s">
        <v>35</v>
      </c>
      <c r="B43" s="10">
        <v>19237.0</v>
      </c>
      <c r="C43" s="28"/>
      <c r="E43" s="26" t="str">
        <f t="shared" si="4"/>
        <v/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5"/>
    </row>
    <row r="44" ht="15.75" customHeight="1">
      <c r="A44" s="30" t="s">
        <v>36</v>
      </c>
      <c r="B44" s="10">
        <v>15247.0</v>
      </c>
      <c r="C44" s="28"/>
      <c r="E44" s="26" t="str">
        <f t="shared" si="4"/>
        <v/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5"/>
    </row>
    <row r="45" ht="15.75" customHeight="1">
      <c r="A45" s="31" t="s">
        <v>37</v>
      </c>
      <c r="B45" s="12">
        <v>3987.0</v>
      </c>
      <c r="C45" s="32"/>
      <c r="E45" s="26" t="str">
        <f t="shared" si="4"/>
        <v/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5"/>
    </row>
    <row r="46" ht="15.75" customHeight="1">
      <c r="A46" s="33" t="s">
        <v>38</v>
      </c>
      <c r="B46" s="34">
        <f>SUM(B42:B45)</f>
        <v>84350</v>
      </c>
      <c r="C46" s="35"/>
      <c r="E46" s="26" t="str">
        <f t="shared" si="4"/>
        <v/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5"/>
    </row>
    <row r="47" ht="15.75" customHeight="1">
      <c r="A47" s="36" t="s">
        <v>8</v>
      </c>
      <c r="B47" s="37">
        <f>B40-B46</f>
        <v>14408</v>
      </c>
      <c r="C47" s="38"/>
      <c r="E47" s="4" t="str">
        <f t="shared" si="4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ht="15.75" customHeight="1"/>
    <row r="49" ht="15.75" customHeight="1"/>
    <row r="50" ht="15.75" customHeight="1">
      <c r="A50" s="7" t="s">
        <v>39</v>
      </c>
      <c r="B50" s="2"/>
      <c r="C50" s="2"/>
      <c r="D50" s="2"/>
      <c r="E50" s="2"/>
      <c r="F50" s="3"/>
    </row>
    <row r="51" ht="15.75" customHeight="1">
      <c r="A51" s="22" t="s">
        <v>40</v>
      </c>
      <c r="B51" s="5"/>
      <c r="C51" s="5"/>
      <c r="D51" s="5"/>
      <c r="E51" s="5"/>
      <c r="F51" s="6"/>
    </row>
    <row r="52" ht="15.75" customHeight="1">
      <c r="A52" s="8" t="s">
        <v>4</v>
      </c>
      <c r="B52" s="9" t="s">
        <v>5</v>
      </c>
      <c r="C52" s="9" t="s">
        <v>11</v>
      </c>
      <c r="D52" s="9" t="s">
        <v>12</v>
      </c>
      <c r="E52" s="9" t="s">
        <v>13</v>
      </c>
      <c r="F52" s="9" t="s">
        <v>14</v>
      </c>
    </row>
    <row r="53" ht="15.75" customHeight="1">
      <c r="A53" s="8" t="str">
        <f>A40</f>
        <v>Revenue</v>
      </c>
      <c r="B53" s="10">
        <v>65487.0</v>
      </c>
      <c r="C53" s="10">
        <v>75894.0</v>
      </c>
      <c r="D53" s="10">
        <v>65007.0</v>
      </c>
      <c r="E53" s="10">
        <v>95449.0</v>
      </c>
      <c r="F53" s="10">
        <v>99220.0</v>
      </c>
    </row>
    <row r="54" ht="15.75" customHeight="1">
      <c r="A54" s="39" t="str">
        <f t="shared" ref="A54:A59" si="5">A42</f>
        <v>COGS</v>
      </c>
      <c r="B54" s="21"/>
      <c r="C54" s="21"/>
      <c r="D54" s="21"/>
      <c r="E54" s="21"/>
      <c r="F54" s="21"/>
    </row>
    <row r="55" ht="15.75" customHeight="1">
      <c r="A55" s="39" t="str">
        <f t="shared" si="5"/>
        <v>Operating</v>
      </c>
      <c r="B55" s="21"/>
      <c r="C55" s="21"/>
      <c r="D55" s="21"/>
      <c r="E55" s="21"/>
      <c r="F55" s="21"/>
    </row>
    <row r="56" ht="15.75" customHeight="1">
      <c r="A56" s="39" t="str">
        <f t="shared" si="5"/>
        <v>Administrative</v>
      </c>
      <c r="B56" s="21"/>
      <c r="C56" s="21"/>
      <c r="D56" s="21"/>
      <c r="E56" s="21"/>
      <c r="F56" s="21"/>
    </row>
    <row r="57" ht="15.75" customHeight="1">
      <c r="A57" s="39" t="str">
        <f t="shared" si="5"/>
        <v>Other</v>
      </c>
      <c r="B57" s="21"/>
      <c r="C57" s="21"/>
      <c r="D57" s="21"/>
      <c r="E57" s="21"/>
      <c r="F57" s="21"/>
    </row>
    <row r="58" ht="15.75" customHeight="1">
      <c r="A58" s="8" t="str">
        <f t="shared" si="5"/>
        <v>Total Expenses</v>
      </c>
      <c r="B58" s="40">
        <f t="shared" ref="B58:F58" si="6">SUM(B54:B57)</f>
        <v>0</v>
      </c>
      <c r="C58" s="41">
        <f t="shared" si="6"/>
        <v>0</v>
      </c>
      <c r="D58" s="41">
        <f t="shared" si="6"/>
        <v>0</v>
      </c>
      <c r="E58" s="41">
        <f t="shared" si="6"/>
        <v>0</v>
      </c>
      <c r="F58" s="41">
        <f t="shared" si="6"/>
        <v>0</v>
      </c>
    </row>
    <row r="59" ht="15.75" customHeight="1">
      <c r="A59" s="8" t="str">
        <f t="shared" si="5"/>
        <v>Net Income</v>
      </c>
      <c r="B59" s="42">
        <f t="shared" ref="B59:F59" si="7">B53-B58</f>
        <v>65487</v>
      </c>
      <c r="C59" s="43">
        <f t="shared" si="7"/>
        <v>75894</v>
      </c>
      <c r="D59" s="43">
        <f t="shared" si="7"/>
        <v>65007</v>
      </c>
      <c r="E59" s="43">
        <f t="shared" si="7"/>
        <v>95449</v>
      </c>
      <c r="F59" s="43">
        <f t="shared" si="7"/>
        <v>99220</v>
      </c>
    </row>
    <row r="60" ht="15.75" customHeight="1"/>
    <row r="61" ht="15.75" customHeight="1">
      <c r="A61" s="1" t="s">
        <v>41</v>
      </c>
      <c r="B61" s="2"/>
      <c r="C61" s="2"/>
      <c r="D61" s="2"/>
      <c r="E61" s="2"/>
      <c r="F61" s="3"/>
    </row>
    <row r="62" ht="15.75" customHeight="1">
      <c r="A62" s="4" t="s">
        <v>42</v>
      </c>
      <c r="B62" s="5"/>
      <c r="C62" s="5"/>
      <c r="D62" s="5"/>
      <c r="E62" s="5"/>
      <c r="F62" s="6"/>
    </row>
    <row r="63" ht="15.75" customHeight="1">
      <c r="A63" s="44" t="s">
        <v>43</v>
      </c>
      <c r="B63" s="45"/>
    </row>
    <row r="64" ht="15.75" customHeight="1">
      <c r="A64" s="16" t="str">
        <f t="shared" ref="A64:A67" si="8">A42</f>
        <v>COGS</v>
      </c>
      <c r="B64" s="19">
        <f t="shared" ref="B64:B67" si="9">B42/$B$40</f>
        <v>0.4645598331</v>
      </c>
      <c r="D64" s="46" t="s">
        <v>44</v>
      </c>
    </row>
    <row r="65" ht="15.75" customHeight="1">
      <c r="A65" s="16" t="str">
        <f t="shared" si="8"/>
        <v>Operating</v>
      </c>
      <c r="B65" s="19">
        <f t="shared" si="9"/>
        <v>0.1947892829</v>
      </c>
      <c r="D65" s="46" t="s">
        <v>45</v>
      </c>
    </row>
    <row r="66" ht="15.75" customHeight="1">
      <c r="A66" s="16" t="str">
        <f t="shared" si="8"/>
        <v>Administrative</v>
      </c>
      <c r="B66" s="19">
        <f t="shared" si="9"/>
        <v>0.1543874927</v>
      </c>
      <c r="D66" s="46" t="s">
        <v>46</v>
      </c>
    </row>
    <row r="67" ht="15.75" customHeight="1">
      <c r="A67" s="16" t="str">
        <f t="shared" si="8"/>
        <v>Other</v>
      </c>
      <c r="B67" s="19">
        <f t="shared" si="9"/>
        <v>0.04037141295</v>
      </c>
      <c r="D67" s="46" t="s">
        <v>47</v>
      </c>
    </row>
    <row r="68" ht="15.75" customHeight="1">
      <c r="B68" s="47"/>
    </row>
    <row r="69" ht="15.75" customHeight="1">
      <c r="A69" s="1" t="s">
        <v>48</v>
      </c>
      <c r="B69" s="2"/>
      <c r="C69" s="2"/>
      <c r="D69" s="2"/>
      <c r="E69" s="2"/>
      <c r="F69" s="2"/>
      <c r="G69" s="3"/>
    </row>
    <row r="70" ht="15.75" customHeight="1">
      <c r="A70" s="4" t="s">
        <v>49</v>
      </c>
      <c r="B70" s="5"/>
      <c r="C70" s="5"/>
      <c r="D70" s="5"/>
      <c r="E70" s="5"/>
      <c r="F70" s="5"/>
      <c r="G70" s="6"/>
    </row>
    <row r="71" ht="15.75" customHeight="1">
      <c r="A71" s="44" t="s">
        <v>43</v>
      </c>
      <c r="B71" s="48"/>
      <c r="C71" s="48"/>
      <c r="D71" s="45"/>
    </row>
    <row r="72" ht="15.75" customHeight="1">
      <c r="A72" s="16" t="s">
        <v>34</v>
      </c>
      <c r="B72" s="16" t="s">
        <v>35</v>
      </c>
      <c r="C72" s="16" t="s">
        <v>36</v>
      </c>
      <c r="D72" s="16" t="s">
        <v>37</v>
      </c>
    </row>
    <row r="73" ht="15.75" customHeight="1">
      <c r="A73" s="19">
        <v>0.46455983312744287</v>
      </c>
      <c r="B73" s="19">
        <v>0.19478928289353775</v>
      </c>
      <c r="C73" s="19">
        <v>0.15438749265882257</v>
      </c>
      <c r="D73" s="19">
        <v>0.040371412948824396</v>
      </c>
    </row>
    <row r="74" ht="15.75" customHeight="1"/>
    <row r="75" ht="15.75" customHeight="1"/>
    <row r="76" ht="15.75" customHeight="1"/>
    <row r="77" ht="15.75" customHeight="1"/>
    <row r="78" ht="15.75" customHeight="1">
      <c r="A78" s="7" t="s">
        <v>50</v>
      </c>
      <c r="B78" s="2"/>
      <c r="C78" s="2"/>
      <c r="D78" s="2"/>
      <c r="E78" s="2"/>
      <c r="F78" s="2"/>
      <c r="G78" s="2"/>
      <c r="H78" s="3"/>
      <c r="I78" s="49"/>
    </row>
    <row r="79" ht="15.75" customHeight="1">
      <c r="A79" s="22" t="s">
        <v>51</v>
      </c>
      <c r="B79" s="5"/>
      <c r="C79" s="5"/>
      <c r="D79" s="5"/>
      <c r="E79" s="5"/>
      <c r="F79" s="5"/>
      <c r="G79" s="5"/>
      <c r="H79" s="6"/>
    </row>
    <row r="80" ht="15.75" customHeight="1">
      <c r="A80" s="8" t="s">
        <v>52</v>
      </c>
      <c r="B80" s="8" t="s">
        <v>53</v>
      </c>
      <c r="C80" s="8" t="s">
        <v>54</v>
      </c>
      <c r="D80" s="8" t="s">
        <v>55</v>
      </c>
    </row>
    <row r="81" ht="15.75" customHeight="1">
      <c r="A81" s="50">
        <v>28463.4</v>
      </c>
      <c r="B81" s="50">
        <v>14231.7</v>
      </c>
      <c r="C81" s="21"/>
      <c r="D81" s="21"/>
      <c r="I81" s="51" t="s">
        <v>56</v>
      </c>
      <c r="J81" s="52"/>
    </row>
    <row r="82" ht="15.75" customHeight="1">
      <c r="A82" s="50">
        <v>33873.7</v>
      </c>
      <c r="B82" s="50">
        <v>45008.47</v>
      </c>
      <c r="C82" s="21"/>
      <c r="D82" s="21"/>
      <c r="I82" s="46" t="s">
        <v>57</v>
      </c>
    </row>
    <row r="83" ht="15.75" customHeight="1">
      <c r="A83" s="50">
        <v>6050.6</v>
      </c>
      <c r="B83" s="50">
        <v>19361.920000000002</v>
      </c>
      <c r="C83" s="21"/>
      <c r="D83" s="21"/>
      <c r="I83" s="46" t="s">
        <v>58</v>
      </c>
    </row>
    <row r="84" ht="15.75" customHeight="1">
      <c r="A84" s="50">
        <v>24665.4</v>
      </c>
      <c r="B84" s="50">
        <v>24397.72</v>
      </c>
      <c r="C84" s="21"/>
      <c r="D84" s="21"/>
      <c r="I84" s="46" t="s">
        <v>59</v>
      </c>
    </row>
    <row r="85" ht="15.75" customHeight="1">
      <c r="A85" s="50">
        <v>17142.4</v>
      </c>
      <c r="B85" s="50">
        <v>19712.96</v>
      </c>
      <c r="C85" s="21"/>
      <c r="D85" s="21"/>
      <c r="I85" s="53" t="s">
        <v>60</v>
      </c>
    </row>
    <row r="86" ht="15.75" customHeight="1">
      <c r="A86" s="50">
        <v>10748.8</v>
      </c>
      <c r="B86" s="50">
        <v>16123.199999999999</v>
      </c>
      <c r="C86" s="21"/>
      <c r="D86" s="21"/>
      <c r="I86" s="46" t="s">
        <v>61</v>
      </c>
    </row>
    <row r="87" ht="15.75" customHeight="1">
      <c r="A87" s="50">
        <v>2653.7</v>
      </c>
      <c r="B87" s="50">
        <v>3715.1799999999994</v>
      </c>
      <c r="C87" s="21"/>
      <c r="D87" s="21"/>
    </row>
    <row r="88" ht="15.75" customHeight="1">
      <c r="A88" s="50">
        <v>13052.6</v>
      </c>
      <c r="B88" s="50">
        <v>22463.06</v>
      </c>
      <c r="C88" s="21"/>
      <c r="D88" s="21"/>
    </row>
    <row r="89" ht="15.75" customHeight="1">
      <c r="A89" s="54" t="s">
        <v>62</v>
      </c>
      <c r="B89" s="54"/>
      <c r="C89" s="54">
        <f t="shared" ref="C89:D89" si="10">SUM(C81:C88)</f>
        <v>0</v>
      </c>
      <c r="D89" s="54">
        <f t="shared" si="10"/>
        <v>0</v>
      </c>
    </row>
    <row r="90" ht="15.75" customHeight="1"/>
    <row r="91" ht="15.75" customHeight="1"/>
    <row r="92" ht="15.75" customHeight="1">
      <c r="A92" s="7" t="s">
        <v>63</v>
      </c>
      <c r="B92" s="2"/>
      <c r="C92" s="2"/>
      <c r="D92" s="2"/>
      <c r="E92" s="2"/>
      <c r="F92" s="2"/>
      <c r="G92" s="2"/>
      <c r="H92" s="3"/>
      <c r="I92" s="49"/>
    </row>
    <row r="93" ht="15.75" customHeight="1">
      <c r="A93" s="22" t="s">
        <v>64</v>
      </c>
      <c r="B93" s="5"/>
      <c r="C93" s="5"/>
      <c r="D93" s="5"/>
      <c r="E93" s="5"/>
      <c r="F93" s="5"/>
      <c r="G93" s="5"/>
      <c r="H93" s="6"/>
      <c r="I93" s="49"/>
    </row>
    <row r="94" ht="15.75" customHeight="1">
      <c r="I94" s="49"/>
    </row>
    <row r="95" ht="15.75" customHeight="1">
      <c r="A95" s="18" t="s">
        <v>65</v>
      </c>
      <c r="I95" s="49"/>
      <c r="K95" s="51" t="s">
        <v>66</v>
      </c>
      <c r="L95" s="55"/>
      <c r="M95" s="56"/>
    </row>
    <row r="96" ht="15.75" customHeight="1">
      <c r="A96" s="9" t="s">
        <v>67</v>
      </c>
      <c r="B96" s="10">
        <v>10000.0</v>
      </c>
      <c r="I96" s="49"/>
      <c r="K96" s="46" t="s">
        <v>57</v>
      </c>
    </row>
    <row r="97" ht="15.75" customHeight="1">
      <c r="A97" s="9" t="s">
        <v>68</v>
      </c>
      <c r="B97" s="10">
        <v>500.0</v>
      </c>
      <c r="I97" s="49"/>
      <c r="K97" s="46" t="s">
        <v>69</v>
      </c>
    </row>
    <row r="98" ht="15.75" customHeight="1">
      <c r="A98" s="9" t="s">
        <v>70</v>
      </c>
      <c r="B98" s="10">
        <v>654.0</v>
      </c>
      <c r="I98" s="49"/>
      <c r="K98" s="46" t="s">
        <v>71</v>
      </c>
    </row>
    <row r="99" ht="15.75" customHeight="1">
      <c r="A99" s="9" t="s">
        <v>72</v>
      </c>
      <c r="B99" s="10">
        <v>85.0</v>
      </c>
      <c r="I99" s="49"/>
      <c r="K99" s="46" t="s">
        <v>73</v>
      </c>
    </row>
    <row r="100" ht="15.75" customHeight="1">
      <c r="A100" s="9" t="s">
        <v>74</v>
      </c>
      <c r="B100" s="10">
        <v>958.0</v>
      </c>
      <c r="I100" s="49"/>
      <c r="K100" s="46" t="s">
        <v>75</v>
      </c>
    </row>
    <row r="101" ht="15.75" customHeight="1">
      <c r="A101" s="9" t="s">
        <v>76</v>
      </c>
      <c r="B101" s="10">
        <v>6522.0</v>
      </c>
      <c r="I101" s="49"/>
      <c r="K101" s="46" t="s">
        <v>77</v>
      </c>
    </row>
    <row r="102" ht="15.75" customHeight="1">
      <c r="A102" s="9" t="s">
        <v>78</v>
      </c>
      <c r="B102" s="10">
        <v>12.0</v>
      </c>
      <c r="I102" s="49"/>
      <c r="K102" s="46" t="s">
        <v>79</v>
      </c>
    </row>
    <row r="103" ht="15.75" customHeight="1">
      <c r="I103" s="49"/>
    </row>
    <row r="104" ht="15.75" customHeight="1">
      <c r="A104" s="16" t="s">
        <v>80</v>
      </c>
      <c r="B104" s="57"/>
      <c r="I104" s="49"/>
    </row>
    <row r="105" ht="15.75" customHeight="1">
      <c r="A105" s="16" t="s">
        <v>81</v>
      </c>
      <c r="B105" s="21"/>
      <c r="I105" s="49"/>
    </row>
    <row r="106" ht="15.75" customHeight="1">
      <c r="A106" s="16" t="s">
        <v>82</v>
      </c>
      <c r="B106" s="57"/>
      <c r="I106" s="49"/>
    </row>
    <row r="107" ht="15.75" customHeight="1">
      <c r="I107" s="49"/>
    </row>
    <row r="108" ht="15.75" customHeight="1">
      <c r="I108" s="49"/>
    </row>
    <row r="109" ht="15.75" customHeight="1">
      <c r="A109" s="7" t="s">
        <v>83</v>
      </c>
      <c r="B109" s="2"/>
      <c r="C109" s="2"/>
      <c r="D109" s="2"/>
      <c r="E109" s="2"/>
      <c r="F109" s="2"/>
      <c r="G109" s="2"/>
      <c r="H109" s="3"/>
      <c r="I109" s="49"/>
    </row>
    <row r="110" ht="15.75" customHeight="1">
      <c r="A110" s="22" t="s">
        <v>84</v>
      </c>
      <c r="B110" s="5"/>
      <c r="C110" s="5"/>
      <c r="D110" s="5"/>
      <c r="E110" s="5"/>
      <c r="F110" s="5"/>
      <c r="G110" s="5"/>
      <c r="H110" s="6"/>
    </row>
    <row r="111" ht="15.75" customHeight="1"/>
    <row r="112" ht="15.75" customHeight="1">
      <c r="A112" s="58" t="s">
        <v>85</v>
      </c>
      <c r="B112" s="59"/>
      <c r="C112" s="59"/>
      <c r="D112" s="59"/>
      <c r="E112" s="59"/>
      <c r="F112" s="60"/>
      <c r="H112" s="51" t="s">
        <v>86</v>
      </c>
      <c r="I112" s="55"/>
      <c r="J112" s="56"/>
    </row>
    <row r="113" ht="15.75" customHeight="1">
      <c r="A113" s="16"/>
      <c r="B113" s="61" t="s">
        <v>5</v>
      </c>
      <c r="C113" s="61" t="s">
        <v>11</v>
      </c>
      <c r="D113" s="61" t="s">
        <v>12</v>
      </c>
      <c r="E113" s="61" t="s">
        <v>13</v>
      </c>
      <c r="F113" s="8" t="s">
        <v>62</v>
      </c>
      <c r="H113" s="46" t="s">
        <v>87</v>
      </c>
    </row>
    <row r="114" ht="15.75" customHeight="1">
      <c r="A114" s="61" t="s">
        <v>88</v>
      </c>
      <c r="B114" s="62"/>
      <c r="C114" s="62"/>
      <c r="D114" s="62"/>
      <c r="E114" s="62"/>
      <c r="F114" s="8">
        <f t="shared" ref="F114:F120" si="11">SUM(B114:E114)</f>
        <v>0</v>
      </c>
      <c r="H114" s="46" t="s">
        <v>89</v>
      </c>
    </row>
    <row r="115" ht="15.75" customHeight="1">
      <c r="A115" s="61" t="s">
        <v>90</v>
      </c>
      <c r="B115" s="62"/>
      <c r="C115" s="62"/>
      <c r="D115" s="62"/>
      <c r="E115" s="62"/>
      <c r="F115" s="8">
        <f t="shared" si="11"/>
        <v>0</v>
      </c>
      <c r="H115" s="46" t="s">
        <v>91</v>
      </c>
    </row>
    <row r="116" ht="15.75" customHeight="1">
      <c r="A116" s="61" t="s">
        <v>92</v>
      </c>
      <c r="B116" s="62"/>
      <c r="C116" s="62"/>
      <c r="D116" s="62"/>
      <c r="E116" s="62"/>
      <c r="F116" s="8">
        <f t="shared" si="11"/>
        <v>0</v>
      </c>
      <c r="H116" s="46" t="s">
        <v>93</v>
      </c>
    </row>
    <row r="117" ht="15.75" customHeight="1">
      <c r="A117" s="61" t="s">
        <v>94</v>
      </c>
      <c r="B117" s="62"/>
      <c r="C117" s="62"/>
      <c r="D117" s="62"/>
      <c r="E117" s="62"/>
      <c r="F117" s="8">
        <f t="shared" si="11"/>
        <v>0</v>
      </c>
      <c r="H117" s="46" t="s">
        <v>95</v>
      </c>
    </row>
    <row r="118" ht="15.75" customHeight="1">
      <c r="A118" s="61" t="s">
        <v>96</v>
      </c>
      <c r="B118" s="62"/>
      <c r="C118" s="62"/>
      <c r="D118" s="62"/>
      <c r="E118" s="62"/>
      <c r="F118" s="8">
        <f t="shared" si="11"/>
        <v>0</v>
      </c>
    </row>
    <row r="119" ht="15.75" customHeight="1">
      <c r="A119" s="61" t="s">
        <v>97</v>
      </c>
      <c r="B119" s="62"/>
      <c r="C119" s="62"/>
      <c r="D119" s="62"/>
      <c r="E119" s="62"/>
      <c r="F119" s="8">
        <f t="shared" si="11"/>
        <v>0</v>
      </c>
    </row>
    <row r="120" ht="15.75" customHeight="1">
      <c r="A120" s="8" t="s">
        <v>62</v>
      </c>
      <c r="B120" s="8">
        <f t="shared" ref="B120:E120" si="12">SUM(B114:B119)</f>
        <v>0</v>
      </c>
      <c r="C120" s="8">
        <f t="shared" si="12"/>
        <v>0</v>
      </c>
      <c r="D120" s="8">
        <f t="shared" si="12"/>
        <v>0</v>
      </c>
      <c r="E120" s="8">
        <f t="shared" si="12"/>
        <v>0</v>
      </c>
      <c r="F120" s="8">
        <f t="shared" si="11"/>
        <v>0</v>
      </c>
    </row>
    <row r="121" ht="15.75" customHeight="1"/>
    <row r="122" ht="15.75" customHeight="1">
      <c r="B122" s="61" t="s">
        <v>5</v>
      </c>
      <c r="C122" s="61" t="s">
        <v>11</v>
      </c>
      <c r="D122" s="61" t="s">
        <v>12</v>
      </c>
      <c r="E122" s="61" t="s">
        <v>13</v>
      </c>
    </row>
    <row r="123" ht="15.75" customHeight="1">
      <c r="B123" s="46" t="str">
        <f t="shared" ref="B123:E123" si="13">SUM('City 1:City 3'!B3:B8)</f>
        <v>#REF!</v>
      </c>
      <c r="C123" s="46" t="str">
        <f t="shared" si="13"/>
        <v>#REF!</v>
      </c>
      <c r="D123" s="46" t="str">
        <f t="shared" si="13"/>
        <v>#REF!</v>
      </c>
      <c r="E123" s="46" t="str">
        <f t="shared" si="13"/>
        <v>#REF!</v>
      </c>
    </row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12:F11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00FF"/>
    <pageSetUpPr/>
  </sheetPr>
  <sheetViews>
    <sheetView showGridLines="0" workbookViewId="0"/>
  </sheetViews>
  <sheetFormatPr customHeight="1" defaultColWidth="14.43" defaultRowHeight="15.0"/>
  <cols>
    <col customWidth="1" min="1" max="1" width="19.86"/>
    <col customWidth="1" min="2" max="2" width="20.29"/>
    <col customWidth="1" min="3" max="26" width="8.86"/>
  </cols>
  <sheetData>
    <row r="1">
      <c r="A1" s="63" t="s">
        <v>98</v>
      </c>
      <c r="B1" s="63" t="s">
        <v>99</v>
      </c>
    </row>
    <row r="2">
      <c r="A2" s="16">
        <v>0.0275</v>
      </c>
      <c r="B2" s="16">
        <v>0.03275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00FF"/>
    <pageSetUpPr/>
  </sheetPr>
  <sheetViews>
    <sheetView showGridLines="0" workbookViewId="0"/>
  </sheetViews>
  <sheetFormatPr customHeight="1" defaultColWidth="14.43" defaultRowHeight="15.0"/>
  <cols>
    <col customWidth="1" min="1" max="26" width="8.86"/>
  </cols>
  <sheetData>
    <row r="1">
      <c r="A1" s="58" t="s">
        <v>100</v>
      </c>
      <c r="B1" s="59"/>
      <c r="C1" s="59"/>
      <c r="D1" s="59"/>
      <c r="E1" s="59"/>
      <c r="F1" s="60"/>
    </row>
    <row r="2">
      <c r="A2" s="16"/>
      <c r="B2" s="61" t="s">
        <v>5</v>
      </c>
      <c r="C2" s="61" t="s">
        <v>11</v>
      </c>
      <c r="D2" s="61" t="s">
        <v>12</v>
      </c>
      <c r="E2" s="61" t="s">
        <v>13</v>
      </c>
      <c r="F2" s="8" t="s">
        <v>62</v>
      </c>
    </row>
    <row r="3">
      <c r="A3" s="61" t="s">
        <v>88</v>
      </c>
      <c r="B3" s="16">
        <v>14.0</v>
      </c>
      <c r="C3" s="16">
        <v>8.0</v>
      </c>
      <c r="D3" s="16">
        <v>0.0</v>
      </c>
      <c r="E3" s="16">
        <v>1.0</v>
      </c>
      <c r="F3" s="8">
        <f t="shared" ref="F3:F9" si="1">SUM(B3:E3)</f>
        <v>23</v>
      </c>
    </row>
    <row r="4">
      <c r="A4" s="61" t="s">
        <v>90</v>
      </c>
      <c r="B4" s="16">
        <v>8.0</v>
      </c>
      <c r="C4" s="16">
        <v>8.0</v>
      </c>
      <c r="D4" s="16">
        <v>2.0</v>
      </c>
      <c r="E4" s="16">
        <v>11.0</v>
      </c>
      <c r="F4" s="8">
        <f t="shared" si="1"/>
        <v>29</v>
      </c>
    </row>
    <row r="5">
      <c r="A5" s="61" t="s">
        <v>92</v>
      </c>
      <c r="B5" s="16">
        <v>6.0</v>
      </c>
      <c r="C5" s="16">
        <v>6.0</v>
      </c>
      <c r="D5" s="16">
        <v>13.0</v>
      </c>
      <c r="E5" s="16">
        <v>7.0</v>
      </c>
      <c r="F5" s="8">
        <f t="shared" si="1"/>
        <v>32</v>
      </c>
    </row>
    <row r="6">
      <c r="A6" s="61" t="s">
        <v>94</v>
      </c>
      <c r="B6" s="16">
        <v>13.0</v>
      </c>
      <c r="C6" s="16">
        <v>12.0</v>
      </c>
      <c r="D6" s="16">
        <v>5.0</v>
      </c>
      <c r="E6" s="16">
        <v>2.0</v>
      </c>
      <c r="F6" s="8">
        <f t="shared" si="1"/>
        <v>32</v>
      </c>
    </row>
    <row r="7">
      <c r="A7" s="61" t="s">
        <v>96</v>
      </c>
      <c r="B7" s="16">
        <v>9.0</v>
      </c>
      <c r="C7" s="16">
        <v>5.0</v>
      </c>
      <c r="D7" s="16">
        <v>10.0</v>
      </c>
      <c r="E7" s="16">
        <v>1.0</v>
      </c>
      <c r="F7" s="8">
        <f t="shared" si="1"/>
        <v>25</v>
      </c>
    </row>
    <row r="8">
      <c r="A8" s="61" t="s">
        <v>97</v>
      </c>
      <c r="B8" s="16">
        <v>9.0</v>
      </c>
      <c r="C8" s="16">
        <v>3.0</v>
      </c>
      <c r="D8" s="16">
        <v>2.0</v>
      </c>
      <c r="E8" s="16">
        <v>12.0</v>
      </c>
      <c r="F8" s="8">
        <f t="shared" si="1"/>
        <v>26</v>
      </c>
    </row>
    <row r="9">
      <c r="A9" s="8" t="s">
        <v>62</v>
      </c>
      <c r="B9" s="8">
        <f t="shared" ref="B9:E9" si="2">SUM(B3:B8)</f>
        <v>59</v>
      </c>
      <c r="C9" s="8">
        <f t="shared" si="2"/>
        <v>42</v>
      </c>
      <c r="D9" s="8">
        <f t="shared" si="2"/>
        <v>32</v>
      </c>
      <c r="E9" s="8">
        <f t="shared" si="2"/>
        <v>34</v>
      </c>
      <c r="F9" s="8">
        <f t="shared" si="1"/>
        <v>167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00FF"/>
    <pageSetUpPr/>
  </sheetPr>
  <sheetViews>
    <sheetView showGridLines="0" workbookViewId="0"/>
  </sheetViews>
  <sheetFormatPr customHeight="1" defaultColWidth="14.43" defaultRowHeight="15.0"/>
  <cols>
    <col customWidth="1" min="1" max="26" width="8.86"/>
  </cols>
  <sheetData>
    <row r="1">
      <c r="A1" s="58" t="s">
        <v>101</v>
      </c>
      <c r="B1" s="59"/>
      <c r="C1" s="59"/>
      <c r="D1" s="59"/>
      <c r="E1" s="59"/>
      <c r="F1" s="60"/>
    </row>
    <row r="2">
      <c r="A2" s="16"/>
      <c r="B2" s="61" t="s">
        <v>5</v>
      </c>
      <c r="C2" s="61" t="s">
        <v>11</v>
      </c>
      <c r="D2" s="61" t="s">
        <v>12</v>
      </c>
      <c r="E2" s="61" t="s">
        <v>13</v>
      </c>
      <c r="F2" s="8" t="s">
        <v>62</v>
      </c>
    </row>
    <row r="3">
      <c r="A3" s="61" t="s">
        <v>88</v>
      </c>
      <c r="B3" s="16">
        <v>9.0</v>
      </c>
      <c r="C3" s="16">
        <v>3.0</v>
      </c>
      <c r="D3" s="16">
        <v>14.0</v>
      </c>
      <c r="E3" s="16">
        <v>9.0</v>
      </c>
      <c r="F3" s="8">
        <f t="shared" ref="F3:F9" si="1">SUM(B3:E3)</f>
        <v>35</v>
      </c>
    </row>
    <row r="4">
      <c r="A4" s="61" t="s">
        <v>90</v>
      </c>
      <c r="B4" s="16">
        <v>0.0</v>
      </c>
      <c r="C4" s="16">
        <v>8.0</v>
      </c>
      <c r="D4" s="16">
        <v>13.0</v>
      </c>
      <c r="E4" s="16">
        <v>2.0</v>
      </c>
      <c r="F4" s="8">
        <f t="shared" si="1"/>
        <v>23</v>
      </c>
    </row>
    <row r="5">
      <c r="A5" s="61" t="s">
        <v>92</v>
      </c>
      <c r="B5" s="16">
        <v>13.0</v>
      </c>
      <c r="C5" s="16">
        <v>7.0</v>
      </c>
      <c r="D5" s="16">
        <v>2.0</v>
      </c>
      <c r="E5" s="16">
        <v>7.0</v>
      </c>
      <c r="F5" s="8">
        <f t="shared" si="1"/>
        <v>29</v>
      </c>
    </row>
    <row r="6">
      <c r="A6" s="61" t="s">
        <v>94</v>
      </c>
      <c r="B6" s="16">
        <v>1.0</v>
      </c>
      <c r="C6" s="16">
        <v>13.0</v>
      </c>
      <c r="D6" s="16">
        <v>3.0</v>
      </c>
      <c r="E6" s="16">
        <v>5.0</v>
      </c>
      <c r="F6" s="8">
        <f t="shared" si="1"/>
        <v>22</v>
      </c>
    </row>
    <row r="7">
      <c r="A7" s="61" t="s">
        <v>96</v>
      </c>
      <c r="B7" s="16">
        <v>3.0</v>
      </c>
      <c r="C7" s="16">
        <v>12.0</v>
      </c>
      <c r="D7" s="16">
        <v>10.0</v>
      </c>
      <c r="E7" s="16">
        <v>11.0</v>
      </c>
      <c r="F7" s="8">
        <f t="shared" si="1"/>
        <v>36</v>
      </c>
    </row>
    <row r="8">
      <c r="A8" s="61" t="s">
        <v>97</v>
      </c>
      <c r="B8" s="16">
        <v>3.0</v>
      </c>
      <c r="C8" s="16">
        <v>0.0</v>
      </c>
      <c r="D8" s="16">
        <v>2.0</v>
      </c>
      <c r="E8" s="16">
        <v>11.0</v>
      </c>
      <c r="F8" s="8">
        <f t="shared" si="1"/>
        <v>16</v>
      </c>
    </row>
    <row r="9">
      <c r="A9" s="8" t="s">
        <v>62</v>
      </c>
      <c r="B9" s="8">
        <f t="shared" ref="B9:E9" si="2">SUM(B3:B8)</f>
        <v>29</v>
      </c>
      <c r="C9" s="8">
        <f t="shared" si="2"/>
        <v>43</v>
      </c>
      <c r="D9" s="8">
        <f t="shared" si="2"/>
        <v>44</v>
      </c>
      <c r="E9" s="8">
        <f t="shared" si="2"/>
        <v>45</v>
      </c>
      <c r="F9" s="8">
        <f t="shared" si="1"/>
        <v>161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00FF"/>
    <pageSetUpPr/>
  </sheetPr>
  <sheetViews>
    <sheetView showGridLines="0" workbookViewId="0"/>
  </sheetViews>
  <sheetFormatPr customHeight="1" defaultColWidth="14.43" defaultRowHeight="15.0"/>
  <cols>
    <col customWidth="1" min="1" max="26" width="8.86"/>
  </cols>
  <sheetData>
    <row r="1">
      <c r="A1" s="58" t="s">
        <v>102</v>
      </c>
      <c r="B1" s="59"/>
      <c r="C1" s="59"/>
      <c r="D1" s="59"/>
      <c r="E1" s="59"/>
      <c r="F1" s="60"/>
    </row>
    <row r="2">
      <c r="A2" s="16"/>
      <c r="B2" s="61" t="s">
        <v>5</v>
      </c>
      <c r="C2" s="61" t="s">
        <v>11</v>
      </c>
      <c r="D2" s="61" t="s">
        <v>12</v>
      </c>
      <c r="E2" s="61" t="s">
        <v>13</v>
      </c>
      <c r="F2" s="8" t="s">
        <v>62</v>
      </c>
    </row>
    <row r="3">
      <c r="A3" s="61" t="s">
        <v>88</v>
      </c>
      <c r="B3" s="16">
        <v>8.0</v>
      </c>
      <c r="C3" s="16">
        <v>14.0</v>
      </c>
      <c r="D3" s="16">
        <v>0.0</v>
      </c>
      <c r="E3" s="16">
        <v>7.0</v>
      </c>
      <c r="F3" s="8">
        <f t="shared" ref="F3:F9" si="1">SUM(B3:E3)</f>
        <v>29</v>
      </c>
    </row>
    <row r="4">
      <c r="A4" s="61" t="s">
        <v>90</v>
      </c>
      <c r="B4" s="16">
        <v>4.0</v>
      </c>
      <c r="C4" s="16">
        <v>13.0</v>
      </c>
      <c r="D4" s="16">
        <v>6.0</v>
      </c>
      <c r="E4" s="16">
        <v>14.0</v>
      </c>
      <c r="F4" s="8">
        <f t="shared" si="1"/>
        <v>37</v>
      </c>
    </row>
    <row r="5">
      <c r="A5" s="61" t="s">
        <v>92</v>
      </c>
      <c r="B5" s="16">
        <v>14.0</v>
      </c>
      <c r="C5" s="16">
        <v>2.0</v>
      </c>
      <c r="D5" s="16">
        <v>2.0</v>
      </c>
      <c r="E5" s="16">
        <v>6.0</v>
      </c>
      <c r="F5" s="8">
        <f t="shared" si="1"/>
        <v>24</v>
      </c>
    </row>
    <row r="6">
      <c r="A6" s="61" t="s">
        <v>94</v>
      </c>
      <c r="B6" s="16">
        <v>4.0</v>
      </c>
      <c r="C6" s="16">
        <v>8.0</v>
      </c>
      <c r="D6" s="16">
        <v>2.0</v>
      </c>
      <c r="E6" s="16">
        <v>0.0</v>
      </c>
      <c r="F6" s="8">
        <f t="shared" si="1"/>
        <v>14</v>
      </c>
    </row>
    <row r="7">
      <c r="A7" s="61" t="s">
        <v>96</v>
      </c>
      <c r="B7" s="16">
        <v>6.0</v>
      </c>
      <c r="C7" s="16">
        <v>5.0</v>
      </c>
      <c r="D7" s="16">
        <v>7.0</v>
      </c>
      <c r="E7" s="16">
        <v>0.0</v>
      </c>
      <c r="F7" s="8">
        <f t="shared" si="1"/>
        <v>18</v>
      </c>
    </row>
    <row r="8">
      <c r="A8" s="61" t="s">
        <v>97</v>
      </c>
      <c r="B8" s="16">
        <v>12.0</v>
      </c>
      <c r="C8" s="16">
        <v>5.0</v>
      </c>
      <c r="D8" s="16">
        <v>2.0</v>
      </c>
      <c r="E8" s="16">
        <v>5.0</v>
      </c>
      <c r="F8" s="8">
        <f t="shared" si="1"/>
        <v>24</v>
      </c>
    </row>
    <row r="9">
      <c r="A9" s="8" t="s">
        <v>62</v>
      </c>
      <c r="B9" s="8">
        <f t="shared" ref="B9:E9" si="2">SUM(B3:B8)</f>
        <v>48</v>
      </c>
      <c r="C9" s="8">
        <f t="shared" si="2"/>
        <v>47</v>
      </c>
      <c r="D9" s="8">
        <f t="shared" si="2"/>
        <v>19</v>
      </c>
      <c r="E9" s="8">
        <f t="shared" si="2"/>
        <v>32</v>
      </c>
      <c r="F9" s="8">
        <f t="shared" si="1"/>
        <v>146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2016-04-19T15:53:38Z</dcterms:created>
  <dc:creator>Girvin, Michael</dc:creator>
</cp:coreProperties>
</file>